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Hilary Herrera\Documents\"/>
    </mc:Choice>
  </mc:AlternateContent>
  <xr:revisionPtr revIDLastSave="0" documentId="13_ncr:1_{F1F06F3B-F34A-4C03-824E-48DA5A7A5F43}" xr6:coauthVersionLast="47" xr6:coauthVersionMax="47" xr10:uidLastSave="{00000000-0000-0000-0000-000000000000}"/>
  <bookViews>
    <workbookView xWindow="-105" yWindow="0" windowWidth="14610" windowHeight="15585" xr2:uid="{0F3DC22B-3D7A-49FC-9BD7-4177FFFA9D66}"/>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7" i="1" l="1"/>
  <c r="C45" i="1"/>
  <c r="C38" i="1"/>
  <c r="C20" i="1"/>
  <c r="C18" i="1"/>
  <c r="C9" i="1"/>
  <c r="D12" i="1" s="1"/>
</calcChain>
</file>

<file path=xl/sharedStrings.xml><?xml version="1.0" encoding="utf-8"?>
<sst xmlns="http://schemas.openxmlformats.org/spreadsheetml/2006/main" count="32" uniqueCount="23">
  <si>
    <t>FLUJO NETO DESPUES DE IMPUESTOS</t>
  </si>
  <si>
    <t>AÑO</t>
  </si>
  <si>
    <t>PROYECCION PARA 6 AÑOS</t>
  </si>
  <si>
    <t>TIR</t>
  </si>
  <si>
    <t>INVERSION INICIAL</t>
  </si>
  <si>
    <t>Tasa impositiva de la empresa</t>
  </si>
  <si>
    <t>Monto del prestamo</t>
  </si>
  <si>
    <t>Costo de la deuda</t>
  </si>
  <si>
    <t>Este es el rendimiento minimo que el proyecto financiado debe generar para cubrir solo su costo de financiacion.</t>
  </si>
  <si>
    <t>1)</t>
  </si>
  <si>
    <t>Financiamiento por medio de un prestamo, considerar:</t>
  </si>
  <si>
    <t> La TIR representa la rentabilidad que genera el proyecto, mientras que el costo de la deuda es el interés que debe pagar por el dinero prestado. Si la TIR es mayor, el proyecto no solo genera el dinero suficiente para pagar el préstamo y sus intereses, sino que también produce un beneficio adicional para la empresa.</t>
  </si>
  <si>
    <t>Tasa de interes (del prestamista o banco)</t>
  </si>
  <si>
    <t>Gasto total en impuestos</t>
  </si>
  <si>
    <t xml:space="preserve">Utilidad antes de impuestos </t>
  </si>
  <si>
    <t xml:space="preserve"> tasa impositiva</t>
  </si>
  <si>
    <t>WACC</t>
  </si>
  <si>
    <t>Período (t)</t>
  </si>
  <si>
    <t>Flujo Neto (Ft​)</t>
  </si>
  <si>
    <t>Factor de Descuento (1+0.07)t1​</t>
  </si>
  <si>
    <t>Valor Actual (Ft​ / (1+k)t)</t>
  </si>
  <si>
    <t>VAN</t>
  </si>
  <si>
    <r>
      <t xml:space="preserve">Dado que el VAN es </t>
    </r>
    <r>
      <rPr>
        <sz val="11"/>
        <color theme="1"/>
        <rFont val="Arial"/>
        <family val="2"/>
      </rPr>
      <t>mayor que cero ($VAN &gt; 0$)</t>
    </r>
    <r>
      <rPr>
        <sz val="11"/>
        <color theme="1"/>
        <rFont val="Aptos Narrow"/>
        <family val="2"/>
        <scheme val="minor"/>
      </rPr>
      <t xml:space="preserve">, esto indica que el proyecto es </t>
    </r>
    <r>
      <rPr>
        <sz val="11"/>
        <color theme="1"/>
        <rFont val="Arial"/>
        <family val="2"/>
      </rPr>
      <t>económicamente rentable</t>
    </r>
    <r>
      <rPr>
        <sz val="11"/>
        <color theme="1"/>
        <rFont val="Aptos Narrow"/>
        <family val="2"/>
        <scheme val="minor"/>
      </rPr>
      <t>. La inversión no solo recupera el costo del capital del 7.0% (WACC), sino que también genera un valor adicional de Q17,508.13 en términos de valor presente.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</si>
</sst>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6" formatCode="&quot;Q&quot;#,##0;[Red]\-&quot;Q&quot;#,##0"/>
    <numFmt numFmtId="8" formatCode="&quot;Q&quot;#,##0.00;[Red]\-&quot;Q&quot;#,##0.00"/>
    <numFmt numFmtId="43" formatCode="_-* #,##0.00_-;\-* #,##0.00_-;_-* &quot;-&quot;??_-;_-@_-"/>
    <numFmt numFmtId="164" formatCode="_-[$Q-100A]* #,##0.00_-;\-[$Q-100A]* #,##0.00_-;_-[$Q-100A]* &quot;-&quot;??_-;_-@_-"/>
    <numFmt numFmtId="165" formatCode="0.0%"/>
  </numFmts>
  <fonts count="6" x14ac:knownFonts="1">
    <font>
      <sz val="11"/>
      <color theme="1"/>
      <name val="Aptos Narrow"/>
      <family val="2"/>
      <scheme val="minor"/>
    </font>
    <font>
      <sz val="11"/>
      <color theme="1"/>
      <name val="Aptos Narrow"/>
      <family val="2"/>
      <scheme val="minor"/>
    </font>
    <font>
      <b/>
      <sz val="11"/>
      <color theme="1"/>
      <name val="Aptos Narrow"/>
      <family val="2"/>
      <scheme val="minor"/>
    </font>
    <font>
      <b/>
      <sz val="10"/>
      <color theme="1"/>
      <name val="Aptos Narrow"/>
      <family val="2"/>
      <scheme val="minor"/>
    </font>
    <font>
      <sz val="10"/>
      <color theme="1"/>
      <name val="Aptos Narrow"/>
      <family val="2"/>
      <scheme val="minor"/>
    </font>
    <font>
      <sz val="11"/>
      <color theme="1"/>
      <name val="Arial"/>
      <family val="2"/>
    </font>
  </fonts>
  <fills count="3">
    <fill>
      <patternFill patternType="none"/>
    </fill>
    <fill>
      <patternFill patternType="gray125"/>
    </fill>
    <fill>
      <patternFill patternType="solid">
        <fgColor theme="9" tint="0.79998168889431442"/>
        <bgColor indexed="64"/>
      </patternFill>
    </fill>
  </fills>
  <borders count="8">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30">
    <xf numFmtId="0" fontId="0" fillId="0" borderId="0" xfId="0"/>
    <xf numFmtId="9" fontId="2" fillId="0" borderId="2" xfId="0" applyNumberFormat="1" applyFont="1" applyBorder="1"/>
    <xf numFmtId="43" fontId="0" fillId="0" borderId="0" xfId="1" applyFont="1"/>
    <xf numFmtId="0" fontId="3" fillId="0" borderId="0" xfId="0" applyFont="1"/>
    <xf numFmtId="0" fontId="4" fillId="0" borderId="0" xfId="0" applyFont="1"/>
    <xf numFmtId="0" fontId="3" fillId="0" borderId="1" xfId="0" applyFont="1" applyBorder="1"/>
    <xf numFmtId="0" fontId="3" fillId="0" borderId="3" xfId="0" applyFont="1" applyBorder="1"/>
    <xf numFmtId="0" fontId="0" fillId="0" borderId="3" xfId="0" applyBorder="1"/>
    <xf numFmtId="0" fontId="4" fillId="2" borderId="3" xfId="0" applyFont="1" applyFill="1" applyBorder="1"/>
    <xf numFmtId="43" fontId="0" fillId="0" borderId="0" xfId="0" applyNumberFormat="1"/>
    <xf numFmtId="9" fontId="0" fillId="0" borderId="0" xfId="2" applyFont="1"/>
    <xf numFmtId="0" fontId="4" fillId="0" borderId="1" xfId="0" applyFont="1" applyBorder="1"/>
    <xf numFmtId="165" fontId="0" fillId="0" borderId="2" xfId="0" applyNumberFormat="1" applyBorder="1"/>
    <xf numFmtId="0" fontId="0" fillId="0" borderId="0" xfId="0" applyAlignment="1">
      <alignment horizontal="right"/>
    </xf>
    <xf numFmtId="164" fontId="4" fillId="2" borderId="3" xfId="0" applyNumberFormat="1" applyFont="1" applyFill="1" applyBorder="1" applyAlignment="1">
      <alignment horizontal="center"/>
    </xf>
    <xf numFmtId="164" fontId="3" fillId="2" borderId="3" xfId="0" applyNumberFormat="1" applyFont="1" applyFill="1" applyBorder="1" applyAlignment="1">
      <alignment horizontal="center"/>
    </xf>
    <xf numFmtId="0" fontId="5" fillId="0" borderId="0" xfId="0" applyFont="1" applyAlignment="1">
      <alignment horizontal="left" vertical="top" wrapText="1"/>
    </xf>
    <xf numFmtId="10" fontId="0" fillId="0" borderId="0" xfId="0" applyNumberFormat="1"/>
    <xf numFmtId="0" fontId="4" fillId="2" borderId="3" xfId="0" applyFont="1" applyFill="1" applyBorder="1" applyAlignment="1">
      <alignment wrapText="1"/>
    </xf>
    <xf numFmtId="0" fontId="4" fillId="0" borderId="3" xfId="0" applyFont="1" applyBorder="1" applyAlignment="1">
      <alignment horizontal="center" wrapText="1"/>
    </xf>
    <xf numFmtId="0" fontId="4" fillId="0" borderId="3" xfId="0" applyFont="1" applyBorder="1" applyAlignment="1">
      <alignment horizontal="center" vertical="center"/>
    </xf>
    <xf numFmtId="6" fontId="4" fillId="0" borderId="3" xfId="0" applyNumberFormat="1" applyFont="1" applyBorder="1" applyAlignment="1">
      <alignment horizontal="center" wrapText="1"/>
    </xf>
    <xf numFmtId="8" fontId="4" fillId="0" borderId="3" xfId="0" applyNumberFormat="1" applyFont="1" applyBorder="1" applyAlignment="1">
      <alignment horizontal="center" wrapText="1"/>
    </xf>
    <xf numFmtId="0" fontId="4" fillId="0" borderId="4" xfId="0" applyFont="1" applyBorder="1" applyAlignment="1">
      <alignment horizontal="center" wrapText="1"/>
    </xf>
    <xf numFmtId="6" fontId="4" fillId="0" borderId="4" xfId="0" applyNumberFormat="1" applyFont="1" applyBorder="1" applyAlignment="1">
      <alignment horizontal="center" wrapText="1"/>
    </xf>
    <xf numFmtId="8" fontId="4" fillId="0" borderId="4" xfId="0" applyNumberFormat="1" applyFont="1" applyBorder="1" applyAlignment="1">
      <alignment horizontal="center" wrapText="1"/>
    </xf>
    <xf numFmtId="0" fontId="4" fillId="0" borderId="5" xfId="0" applyFont="1" applyBorder="1" applyAlignment="1">
      <alignment horizontal="center" wrapText="1"/>
    </xf>
    <xf numFmtId="0" fontId="4" fillId="0" borderId="6" xfId="0" applyFont="1" applyBorder="1" applyAlignment="1">
      <alignment horizontal="center" wrapText="1"/>
    </xf>
    <xf numFmtId="8" fontId="3" fillId="0" borderId="7" xfId="0" applyNumberFormat="1" applyFont="1" applyBorder="1" applyAlignment="1">
      <alignment horizontal="center" wrapText="1"/>
    </xf>
    <xf numFmtId="0" fontId="0" fillId="0" borderId="0" xfId="0" applyFont="1" applyAlignment="1">
      <alignment horizontal="center" wrapText="1"/>
    </xf>
  </cellXfs>
  <cellStyles count="3">
    <cellStyle name="Millares" xfId="1" builtinId="3"/>
    <cellStyle name="Normal" xfId="0" builtinId="0"/>
    <cellStyle name="Porcentaje"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B3F2B7-9844-4AED-9459-4033E1368B63}">
  <dimension ref="A6:H61"/>
  <sheetViews>
    <sheetView tabSelected="1" view="pageLayout" topLeftCell="A46" zoomScaleNormal="100" workbookViewId="0">
      <selection activeCell="F56" sqref="F56"/>
    </sheetView>
  </sheetViews>
  <sheetFormatPr baseColWidth="10" defaultRowHeight="15" x14ac:dyDescent="0.25"/>
  <cols>
    <col min="2" max="2" width="24.140625" style="4" customWidth="1"/>
    <col min="3" max="3" width="16.42578125" customWidth="1"/>
    <col min="4" max="4" width="15.140625" customWidth="1"/>
    <col min="5" max="5" width="18.5703125" bestFit="1" customWidth="1"/>
    <col min="6" max="7" width="12" bestFit="1" customWidth="1"/>
    <col min="8" max="8" width="13" bestFit="1" customWidth="1"/>
  </cols>
  <sheetData>
    <row r="6" spans="1:8" x14ac:dyDescent="0.25">
      <c r="B6" s="3" t="s">
        <v>2</v>
      </c>
    </row>
    <row r="7" spans="1:8" x14ac:dyDescent="0.25">
      <c r="B7" s="3" t="s">
        <v>4</v>
      </c>
      <c r="C7" s="2">
        <v>100000</v>
      </c>
    </row>
    <row r="8" spans="1:8" x14ac:dyDescent="0.25">
      <c r="B8" s="6" t="s">
        <v>1</v>
      </c>
      <c r="C8" s="7">
        <v>0</v>
      </c>
      <c r="D8" s="7">
        <v>1</v>
      </c>
      <c r="E8" s="7">
        <v>2</v>
      </c>
      <c r="F8" s="7">
        <v>3</v>
      </c>
      <c r="G8" s="7">
        <v>4</v>
      </c>
      <c r="H8" s="7">
        <v>5</v>
      </c>
    </row>
    <row r="9" spans="1:8" x14ac:dyDescent="0.25">
      <c r="B9" s="8" t="s">
        <v>0</v>
      </c>
      <c r="C9" s="14">
        <f>-$C$7</f>
        <v>-100000</v>
      </c>
      <c r="D9" s="15">
        <v>11000</v>
      </c>
      <c r="E9" s="15">
        <v>12000</v>
      </c>
      <c r="F9" s="15">
        <v>20000</v>
      </c>
      <c r="G9" s="15">
        <v>40000</v>
      </c>
      <c r="H9" s="15">
        <v>70000</v>
      </c>
    </row>
    <row r="11" spans="1:8" ht="15.75" thickBot="1" x14ac:dyDescent="0.3"/>
    <row r="12" spans="1:8" ht="15.75" thickBot="1" x14ac:dyDescent="0.3">
      <c r="C12" s="5" t="s">
        <v>3</v>
      </c>
      <c r="D12" s="1">
        <f>IRR(C9:H9)</f>
        <v>0.11631008888727168</v>
      </c>
    </row>
    <row r="14" spans="1:8" x14ac:dyDescent="0.25">
      <c r="A14" s="13" t="s">
        <v>9</v>
      </c>
      <c r="B14" s="3" t="s">
        <v>10</v>
      </c>
    </row>
    <row r="16" spans="1:8" x14ac:dyDescent="0.25">
      <c r="B16" s="4" t="s">
        <v>12</v>
      </c>
      <c r="C16" s="10">
        <v>0.1</v>
      </c>
    </row>
    <row r="17" spans="1:8" x14ac:dyDescent="0.25">
      <c r="B17" s="4" t="s">
        <v>5</v>
      </c>
      <c r="C17" s="10">
        <v>0.3</v>
      </c>
      <c r="E17" t="s">
        <v>15</v>
      </c>
      <c r="F17" t="s">
        <v>13</v>
      </c>
      <c r="H17" s="2"/>
    </row>
    <row r="18" spans="1:8" x14ac:dyDescent="0.25">
      <c r="B18" s="4" t="s">
        <v>6</v>
      </c>
      <c r="C18" s="9">
        <f>C7</f>
        <v>100000</v>
      </c>
      <c r="F18" t="s">
        <v>14</v>
      </c>
      <c r="H18" s="2"/>
    </row>
    <row r="19" spans="1:8" ht="15.75" thickBot="1" x14ac:dyDescent="0.3"/>
    <row r="20" spans="1:8" ht="15.75" thickBot="1" x14ac:dyDescent="0.3">
      <c r="B20" s="11" t="s">
        <v>7</v>
      </c>
      <c r="C20" s="12">
        <f>C16*(1-C17)</f>
        <v>6.9999999999999993E-2</v>
      </c>
    </row>
    <row r="21" spans="1:8" x14ac:dyDescent="0.25">
      <c r="B21" s="4" t="s">
        <v>8</v>
      </c>
    </row>
    <row r="24" spans="1:8" ht="15.75" customHeight="1" x14ac:dyDescent="0.25">
      <c r="A24" s="16" t="s">
        <v>11</v>
      </c>
      <c r="B24" s="16"/>
      <c r="C24" s="16"/>
      <c r="D24" s="16"/>
      <c r="E24" s="16"/>
      <c r="F24" s="16"/>
      <c r="G24" s="16"/>
      <c r="H24" s="16"/>
    </row>
    <row r="25" spans="1:8" x14ac:dyDescent="0.25">
      <c r="A25" s="16"/>
      <c r="B25" s="16"/>
      <c r="C25" s="16"/>
      <c r="D25" s="16"/>
      <c r="E25" s="16"/>
      <c r="F25" s="16"/>
      <c r="G25" s="16"/>
      <c r="H25" s="16"/>
    </row>
    <row r="26" spans="1:8" x14ac:dyDescent="0.25">
      <c r="A26" s="16"/>
      <c r="B26" s="16"/>
      <c r="C26" s="16"/>
      <c r="D26" s="16"/>
      <c r="E26" s="16"/>
      <c r="F26" s="16"/>
      <c r="G26" s="16"/>
      <c r="H26" s="16"/>
    </row>
    <row r="35" spans="1:8" x14ac:dyDescent="0.25">
      <c r="B35" s="3" t="s">
        <v>2</v>
      </c>
    </row>
    <row r="36" spans="1:8" x14ac:dyDescent="0.25">
      <c r="B36" s="3" t="s">
        <v>4</v>
      </c>
      <c r="C36" s="2">
        <v>100000</v>
      </c>
    </row>
    <row r="37" spans="1:8" x14ac:dyDescent="0.25">
      <c r="B37" s="6" t="s">
        <v>1</v>
      </c>
      <c r="C37" s="7">
        <v>0</v>
      </c>
      <c r="D37" s="7">
        <v>1</v>
      </c>
      <c r="E37" s="7">
        <v>2</v>
      </c>
      <c r="F37" s="7">
        <v>3</v>
      </c>
      <c r="G37" s="7">
        <v>4</v>
      </c>
      <c r="H37" s="7">
        <v>5</v>
      </c>
    </row>
    <row r="38" spans="1:8" ht="27" x14ac:dyDescent="0.25">
      <c r="B38" s="18" t="s">
        <v>0</v>
      </c>
      <c r="C38" s="14">
        <f>-$C$7</f>
        <v>-100000</v>
      </c>
      <c r="D38" s="15">
        <v>11000</v>
      </c>
      <c r="E38" s="15">
        <v>12000</v>
      </c>
      <c r="F38" s="15">
        <v>20000</v>
      </c>
      <c r="G38" s="15">
        <v>40000</v>
      </c>
      <c r="H38" s="15">
        <v>70000</v>
      </c>
    </row>
    <row r="41" spans="1:8" x14ac:dyDescent="0.25">
      <c r="A41" s="13" t="s">
        <v>9</v>
      </c>
      <c r="B41" s="3" t="s">
        <v>10</v>
      </c>
    </row>
    <row r="43" spans="1:8" x14ac:dyDescent="0.25">
      <c r="B43" s="4" t="s">
        <v>12</v>
      </c>
      <c r="C43" s="10">
        <v>0.1</v>
      </c>
    </row>
    <row r="44" spans="1:8" x14ac:dyDescent="0.25">
      <c r="B44" s="4" t="s">
        <v>5</v>
      </c>
      <c r="C44" s="10">
        <v>0.3</v>
      </c>
    </row>
    <row r="45" spans="1:8" x14ac:dyDescent="0.25">
      <c r="B45" s="4" t="s">
        <v>6</v>
      </c>
      <c r="C45" s="9">
        <f>C36</f>
        <v>100000</v>
      </c>
    </row>
    <row r="47" spans="1:8" x14ac:dyDescent="0.25">
      <c r="B47" s="4" t="s">
        <v>16</v>
      </c>
      <c r="C47" s="17">
        <f>C43*(1-C44)</f>
        <v>6.9999999999999993E-2</v>
      </c>
    </row>
    <row r="50" spans="2:6" ht="40.5" x14ac:dyDescent="0.25">
      <c r="B50" s="19" t="s">
        <v>17</v>
      </c>
      <c r="C50" s="19" t="s">
        <v>18</v>
      </c>
      <c r="D50" s="19" t="s">
        <v>19</v>
      </c>
      <c r="E50" s="20" t="s">
        <v>20</v>
      </c>
    </row>
    <row r="51" spans="2:6" x14ac:dyDescent="0.25">
      <c r="B51" s="19">
        <v>0</v>
      </c>
      <c r="C51" s="21">
        <v>-100000</v>
      </c>
      <c r="D51" s="19">
        <v>1</v>
      </c>
      <c r="E51" s="22">
        <v>-100000</v>
      </c>
    </row>
    <row r="52" spans="2:6" x14ac:dyDescent="0.25">
      <c r="B52" s="19">
        <v>1</v>
      </c>
      <c r="C52" s="21">
        <v>11000</v>
      </c>
      <c r="D52" s="19">
        <v>0.93459999999999999</v>
      </c>
      <c r="E52" s="22">
        <v>10280.84</v>
      </c>
    </row>
    <row r="53" spans="2:6" x14ac:dyDescent="0.25">
      <c r="B53" s="19">
        <v>2</v>
      </c>
      <c r="C53" s="21">
        <v>12000</v>
      </c>
      <c r="D53" s="19">
        <v>0.87339999999999995</v>
      </c>
      <c r="E53" s="22">
        <v>10480.370000000001</v>
      </c>
    </row>
    <row r="54" spans="2:6" x14ac:dyDescent="0.25">
      <c r="B54" s="19">
        <v>3</v>
      </c>
      <c r="C54" s="21">
        <v>20000</v>
      </c>
      <c r="D54" s="19">
        <v>0.81630000000000003</v>
      </c>
      <c r="E54" s="22">
        <v>16326.54</v>
      </c>
    </row>
    <row r="55" spans="2:6" x14ac:dyDescent="0.25">
      <c r="B55" s="19">
        <v>4</v>
      </c>
      <c r="C55" s="21">
        <v>40000</v>
      </c>
      <c r="D55" s="19">
        <v>0.76290000000000002</v>
      </c>
      <c r="E55" s="22">
        <v>30517.37</v>
      </c>
    </row>
    <row r="56" spans="2:6" ht="15.75" thickBot="1" x14ac:dyDescent="0.3">
      <c r="B56" s="23">
        <v>5</v>
      </c>
      <c r="C56" s="24">
        <v>70000</v>
      </c>
      <c r="D56" s="23">
        <v>0.71289999999999998</v>
      </c>
      <c r="E56" s="25">
        <v>49903.01</v>
      </c>
    </row>
    <row r="57" spans="2:6" ht="15.75" thickBot="1" x14ac:dyDescent="0.3">
      <c r="B57" s="26" t="s">
        <v>21</v>
      </c>
      <c r="C57" s="27"/>
      <c r="D57" s="27"/>
      <c r="E57" s="28">
        <v>17508.13</v>
      </c>
    </row>
    <row r="59" spans="2:6" x14ac:dyDescent="0.25">
      <c r="B59" s="29" t="s">
        <v>22</v>
      </c>
      <c r="C59" s="29"/>
      <c r="D59" s="29"/>
      <c r="E59" s="29"/>
      <c r="F59" s="29"/>
    </row>
    <row r="60" spans="2:6" x14ac:dyDescent="0.25">
      <c r="B60" s="29"/>
      <c r="C60" s="29"/>
      <c r="D60" s="29"/>
      <c r="E60" s="29"/>
      <c r="F60" s="29"/>
    </row>
    <row r="61" spans="2:6" x14ac:dyDescent="0.25">
      <c r="B61" s="29"/>
      <c r="C61" s="29"/>
      <c r="D61" s="29"/>
      <c r="E61" s="29"/>
      <c r="F61" s="29"/>
    </row>
  </sheetData>
  <mergeCells count="2">
    <mergeCell ref="A24:H26"/>
    <mergeCell ref="B59:F61"/>
  </mergeCells>
  <pageMargins left="0.7" right="0.44791666666666669" top="0.75" bottom="0.75" header="0.3" footer="0.3"/>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Hilary Herrera</dc:creator>
  <cp:lastModifiedBy>Hilary Herrera</cp:lastModifiedBy>
  <dcterms:created xsi:type="dcterms:W3CDTF">2025-11-06T06:29:21Z</dcterms:created>
  <dcterms:modified xsi:type="dcterms:W3CDTF">2025-11-10T02:54:25Z</dcterms:modified>
</cp:coreProperties>
</file>